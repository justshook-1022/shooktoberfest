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804b212bd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Selection" sheetId="1" r:id="R8f23de9771f6441a"/>
  </x:sheets>
</x:workbook>
</file>

<file path=xl/comments1.xml><?xml version="1.0" encoding="utf-8"?>
<x:comments xmlns:x="http://schemas.openxmlformats.org/spreadsheetml/2006/main">
  <x:authors>
    <x:author/>
  </x:authors>
  <x:commentList>
    <x:comment ref="C7" authorId="0">
      <x:text>
        <x:r>
          <x:t>Roster: Supabase project moqvxilwgjcvrhnmtewr, event 44790ca5-34a1-423d-8df7-089e1c458151, paid/comped players. Flight split follows website lib/admin.ts. Handicap allowance: https://www.usga.org/content/usga/home-page/handicapping/roh/Content/rules/Committee%20Content/USGA/LG_R7h5.htm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228"/>
      <x:name val="Arial"/>
    </x:font>
    <x:font>
      <x:b/>
      <x:sz val="16"/>
      <x:color rgb="FF243228"/>
      <x:name val="Arial"/>
    </x:font>
    <x:font>
      <x:b/>
      <x:sz val="11"/>
      <x:color rgb="FF243228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C34"/>
      </x:patternFill>
    </x:fill>
    <x:fill>
      <x:patternFill patternType="solid">
        <x:fgColor rgb="FFE8EFE6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3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b/>
        <x:color rgb="FF9C211C"/>
      </x:font>
      <x:fill>
        <x:patternFill patternType="solid">
          <x:bgColor rgb="FFFADBD8"/>
        </x:patternFill>
      </x:fill>
    </x:dxf>
    <x:dxf>
      <x:font>
        <x:color rgb="FF9C211C"/>
      </x:font>
      <x:fill>
        <x:patternFill patternType="solid">
          <x:bgColor rgb="FFFADBD8"/>
        </x:patternFill>
      </x:fill>
    </x:dxf>
    <x:dxf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2d278bd3f4f8f" /><Relationship Type="http://schemas.openxmlformats.org/officeDocument/2006/relationships/theme" Target="/xl/theme/theme1.xml" Id="R0728426abb9e4aef" /><Relationship Type="http://schemas.openxmlformats.org/officeDocument/2006/relationships/sharedStrings" Target="/xl/sharedStrings.xml" Id="Re69d9769b50a404d" /><Relationship Type="http://schemas.openxmlformats.org/officeDocument/2006/relationships/worksheet" Target="/xl/worksheets/sheet1.xml" Id="R8f23de9771f644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8ff106934a54238" /><Relationship Type="http://schemas.openxmlformats.org/officeDocument/2006/relationships/vmlDrawing" Target="/xl/drawings/vmldrawing.vml" Id="R0758ad3122744320" /></Relationships>
</file>

<file path=xl/worksheets/sheet1.xml><?xml version="1.0" encoding="utf-8"?>
<x:worksheet xmlns:x="http://schemas.openxmlformats.org/spreadsheetml/2006/main">
  <x:sheetPr>
    <x:tabColor rgb="FF254C34"/>
  </x:sheetPr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3" hidden="0" customWidth="1"/>
    <x:col min="4" max="4" width="28" hidden="0" customWidth="1"/>
    <x:col min="5" max="5" width="13" hidden="0" customWidth="1"/>
    <x:col min="6" max="6" width="15" hidden="0" customWidth="1"/>
    <x:col min="7" max="7" width="2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Shooktoberfest • Team selection</x:v>
      </x:c>
      <x:c r="B2" s="3"/>
      <x:c r="C2" s="3"/>
      <x:c r="D2" s="3"/>
      <x:c r="E2" s="3"/>
      <x:c r="F2" s="3"/>
      <x:c r="G2" s="3"/>
    </x:row>
    <x:row r="3" ht="23" customHeight="1">
      <x:c r="A3" s="2" t="str">
        <x:v>October 2, 2026  |  Yellow cells are editable. Choose partners in the table below.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3" customHeight="1">
      <x:c r="A5" s="4" t="str">
        <x:v>B flight • Draw numbers</x:v>
      </x:c>
      <x:c r="B5" s="4"/>
      <x:c r="C5" s="4"/>
      <x:c r="D5" s="4"/>
      <x:c r="E5" s="2"/>
      <x:c r="F5" s="2"/>
      <x:c r="G5" s="2"/>
    </x:row>
    <x:row r="6" ht="32" customHeight="1">
      <x:c r="A6" s="8" t="str">
        <x:v>Draw #</x:v>
      </x:c>
      <x:c r="B6" s="8" t="str">
        <x:v>B-flight player</x:v>
      </x:c>
      <x:c r="C6" s="8" t="str">
        <x:v>Course HCP</x:v>
      </x:c>
      <x:c r="D6" s="8" t="str">
        <x:v>Assignment</x:v>
      </x:c>
      <x:c r="E6" s="2" t="str">
        <x:v>How to use</x:v>
      </x:c>
      <x:c r="F6" s="2"/>
      <x:c r="G6" s="2"/>
    </x:row>
    <x:row r="7" ht="23" customHeight="1">
      <x:c r="A7" s="2" t="n">
        <x:v>1</x:v>
      </x:c>
      <x:c r="B7" s="5" t="str">
        <x:v>Jack Linden</x:v>
      </x:c>
      <x:c r="C7" s="10" t="n">
        <x:v>20</x:v>
      </x:c>
      <x:c r="D7" s="2" t="str">
        <x:f>IF(B7="","",IF(COUNTIF($D$27:$D$42,B7)=0,"Available",IF(COUNTIF($D$27:$D$42,B7)=1,"Assigned","Selected twice")))</x:f>
        <x:v>Available</x:v>
      </x:c>
      <x:c r="E7" s="2"/>
      <x:c r="F7" s="2"/>
      <x:c r="G7" s="2"/>
    </x:row>
    <x:row r="8" ht="23" customHeight="1">
      <x:c r="A8" s="2" t="n">
        <x:v>2</x:v>
      </x:c>
      <x:c r="B8" s="5" t="str">
        <x:v>Jim Blisk</x:v>
      </x:c>
      <x:c r="C8" s="10" t="n">
        <x:v>21</x:v>
      </x:c>
      <x:c r="D8" s="2" t="str">
        <x:f>IF(B8="","",IF(COUNTIF($D$27:$D$42,B8)=0,"Available",IF(COUNTIF($D$27:$D$42,B8)=1,"Assigned","Selected twice")))</x:f>
        <x:v>Available</x:v>
      </x:c>
      <x:c r="E8" s="2" t="str">
        <x:v>1. Draw a B-player number.</x:v>
      </x:c>
      <x:c r="F8" s="2"/>
      <x:c r="G8" s="2"/>
    </x:row>
    <x:row r="9" ht="23" customHeight="1">
      <x:c r="A9" s="2" t="n">
        <x:v>3</x:v>
      </x:c>
      <x:c r="B9" s="5" t="str">
        <x:v>Tony Coldagelli</x:v>
      </x:c>
      <x:c r="C9" s="10" t="n">
        <x:v>22</x:v>
      </x:c>
      <x:c r="D9" s="2" t="str">
        <x:f>IF(B9="","",IF(COUNTIF($D$27:$D$42,B9)=0,"Available",IF(COUNTIF($D$27:$D$42,B9)=1,"Assigned","Selected twice")))</x:f>
        <x:v>Available</x:v>
      </x:c>
      <x:c r="E9" s="2" t="str">
        <x:v>2. Find that player above.</x:v>
      </x:c>
      <x:c r="F9" s="2"/>
      <x:c r="G9" s="2"/>
    </x:row>
    <x:row r="10" ht="23" customHeight="1">
      <x:c r="A10" s="2" t="n">
        <x:v>4</x:v>
      </x:c>
      <x:c r="B10" s="5" t="str">
        <x:v>Kyle Gajewski</x:v>
      </x:c>
      <x:c r="C10" s="10" t="n">
        <x:v>22</x:v>
      </x:c>
      <x:c r="D10" s="2" t="str">
        <x:f>IF(B10="","",IF(COUNTIF($D$27:$D$42,B10)=0,"Available",IF(COUNTIF($D$27:$D$42,B10)=1,"Assigned","Selected twice")))</x:f>
        <x:v>Available</x:v>
      </x:c>
      <x:c r="E10" s="2" t="str">
        <x:v>3. Select their name below.</x:v>
      </x:c>
      <x:c r="F10" s="2"/>
      <x:c r="G10" s="2"/>
    </x:row>
    <x:row r="11" ht="23" customHeight="1">
      <x:c r="A11" s="2" t="n">
        <x:v>5</x:v>
      </x:c>
      <x:c r="B11" s="5" t="str">
        <x:v>David Isaac</x:v>
      </x:c>
      <x:c r="C11" s="10" t="n">
        <x:v>22</x:v>
      </x:c>
      <x:c r="D11" s="2" t="str">
        <x:f>IF(B11="","",IF(COUNTIF($D$27:$D$42,B11)=0,"Available",IF(COUNTIF($D$27:$D$42,B11)=1,"Assigned","Selected twice")))</x:f>
        <x:v>Available</x:v>
      </x:c>
      <x:c r="E11" s="2"/>
      <x:c r="F11" s="2"/>
      <x:c r="G11" s="2"/>
    </x:row>
    <x:row r="12" ht="23" customHeight="1">
      <x:c r="A12" s="2" t="n">
        <x:v>6</x:v>
      </x:c>
      <x:c r="B12" s="5" t="str">
        <x:v>Cob Ronley</x:v>
      </x:c>
      <x:c r="C12" s="10" t="n">
        <x:v>22</x:v>
      </x:c>
      <x:c r="D12" s="2" t="str">
        <x:f>IF(B12="","",IF(COUNTIF($D$27:$D$42,B12)=0,"Available",IF(COUNTIF($D$27:$D$42,B12)=1,"Assigned","Selected twice")))</x:f>
        <x:v>Available</x:v>
      </x:c>
      <x:c r="E12" s="2" t="str">
        <x:v>31 players: 15 A + 16 B.</x:v>
      </x:c>
      <x:c r="F12" s="2"/>
      <x:c r="G12" s="2"/>
    </x:row>
    <x:row r="13" ht="23" customHeight="1">
      <x:c r="A13" s="2" t="n">
        <x:v>7</x:v>
      </x:c>
      <x:c r="B13" s="5" t="str">
        <x:v>Steven Rehder</x:v>
      </x:c>
      <x:c r="C13" s="10" t="n">
        <x:v>26</x:v>
      </x:c>
      <x:c r="D13" s="2" t="str">
        <x:f>IF(B13="","",IF(COUNTIF($D$27:$D$42,B13)=0,"Available",IF(COUNTIF($D$27:$D$42,B13)=1,"Assigned","Selected twice")))</x:f>
        <x:v>Available</x:v>
      </x:c>
      <x:c r="E13" s="2" t="str">
        <x:v>One extra A slot is blank.</x:v>
      </x:c>
      <x:c r="F13" s="2"/>
      <x:c r="G13" s="2"/>
    </x:row>
    <x:row r="14" ht="23" customHeight="1">
      <x:c r="A14" s="2" t="n">
        <x:v>8</x:v>
      </x:c>
      <x:c r="B14" s="5" t="str">
        <x:v>Giuseppe Infusino</x:v>
      </x:c>
      <x:c r="C14" s="10" t="n">
        <x:v>27</x:v>
      </x:c>
      <x:c r="D14" s="2" t="str">
        <x:f>IF(B14="","",IF(COUNTIF($D$27:$D$42,B14)=0,"Available",IF(COUNTIF($D$27:$D$42,B14)=1,"Assigned","Selected twice")))</x:f>
        <x:v>Available</x:v>
      </x:c>
      <x:c r="E14" s="2"/>
      <x:c r="F14" s="2"/>
      <x:c r="G14" s="2"/>
    </x:row>
    <x:row r="15" ht="23" customHeight="1">
      <x:c r="A15" s="2" t="n">
        <x:v>9</x:v>
      </x:c>
      <x:c r="B15" s="5" t="str">
        <x:v>Brandon Dombrowski</x:v>
      </x:c>
      <x:c r="C15" s="10" t="n">
        <x:v>30</x:v>
      </x:c>
      <x:c r="D15" s="2" t="str">
        <x:f>IF(B15="","",IF(COUNTIF($D$27:$D$42,B15)=0,"Available",IF(COUNTIF($D$27:$D$42,B15)=1,"Assigned","Selected twice")))</x:f>
        <x:v>Available</x:v>
      </x:c>
      <x:c r="E15" s="2" t="str">
        <x:v>Team HCP = 35% low + 15% high.</x:v>
      </x:c>
      <x:c r="F15" s="2"/>
      <x:c r="G15" s="2"/>
    </x:row>
    <x:row r="16" ht="23" customHeight="1">
      <x:c r="A16" s="2" t="n">
        <x:v>10</x:v>
      </x:c>
      <x:c r="B16" s="5" t="str">
        <x:v>Phil Porter</x:v>
      </x:c>
      <x:c r="C16" s="10" t="n">
        <x:v>30</x:v>
      </x:c>
      <x:c r="D16" s="2" t="str">
        <x:f>IF(B16="","",IF(COUNTIF($D$27:$D$42,B16)=0,"Available",IF(COUNTIF($D$27:$D$42,B16)=1,"Assigned","Selected twice")))</x:f>
        <x:v>Available</x:v>
      </x:c>
      <x:c r="E16" s="2" t="str">
        <x:v>Rounded to a whole stroke.</x:v>
      </x:c>
      <x:c r="F16" s="2"/>
      <x:c r="G16" s="2"/>
    </x:row>
    <x:row r="17" ht="23" customHeight="1">
      <x:c r="A17" s="2" t="n">
        <x:v>11</x:v>
      </x:c>
      <x:c r="B17" s="5" t="str">
        <x:v>Brian Myers</x:v>
      </x:c>
      <x:c r="C17" s="10" t="n">
        <x:v>31</x:v>
      </x:c>
      <x:c r="D17" s="2" t="str">
        <x:f>IF(B17="","",IF(COUNTIF($D$27:$D$42,B17)=0,"Available",IF(COUNTIF($D$27:$D$42,B17)=1,"Assigned","Selected twice")))</x:f>
        <x:v>Available</x:v>
      </x:c>
      <x:c r="E17" s="2"/>
      <x:c r="F17" s="2"/>
      <x:c r="G17" s="2"/>
    </x:row>
    <x:row r="18" ht="23" customHeight="1">
      <x:c r="A18" s="2" t="n">
        <x:v>12</x:v>
      </x:c>
      <x:c r="B18" s="5" t="str">
        <x:v>Ryan Lannon</x:v>
      </x:c>
      <x:c r="C18" s="10" t="n">
        <x:v>33</x:v>
      </x:c>
      <x:c r="D18" s="2" t="str">
        <x:f>IF(B18="","",IF(COUNTIF($D$27:$D$42,B18)=0,"Available",IF(COUNTIF($D$27:$D$42,B18)=1,"Assigned","Selected twice")))</x:f>
        <x:v>Available</x:v>
      </x:c>
      <x:c r="E18" s="2" t="str">
        <x:v>Use course handicaps.</x:v>
      </x:c>
      <x:c r="F18" s="2"/>
      <x:c r="G18" s="2"/>
    </x:row>
    <x:row r="19" ht="23" customHeight="1">
      <x:c r="A19" s="2" t="n">
        <x:v>13</x:v>
      </x:c>
      <x:c r="B19" s="5" t="str">
        <x:v>The Chow</x:v>
      </x:c>
      <x:c r="C19" s="10" t="n">
        <x:v>36</x:v>
      </x:c>
      <x:c r="D19" s="2" t="str">
        <x:f>IF(B19="","",IF(COUNTIF($D$27:$D$42,B19)=0,"Available",IF(COUNTIF($D$27:$D$42,B19)=1,"Assigned","Selected twice")))</x:f>
        <x:v>Available</x:v>
      </x:c>
      <x:c r="E19" s="2" t="str">
        <x:v>Enter plus handicaps as negatives.</x:v>
      </x:c>
      <x:c r="F19" s="2"/>
      <x:c r="G19" s="2"/>
    </x:row>
    <x:row r="20" ht="23" customHeight="1">
      <x:c r="A20" s="2" t="n">
        <x:v>14</x:v>
      </x:c>
      <x:c r="B20" s="5" t="str">
        <x:v>Troy Holler</x:v>
      </x:c>
      <x:c r="C20" s="10" t="n">
        <x:v>37</x:v>
      </x:c>
      <x:c r="D20" s="2" t="str">
        <x:f>IF(B20="","",IF(COUNTIF($D$27:$D$42,B20)=0,"Available",IF(COUNTIF($D$27:$D$42,B20)=1,"Assigned","Selected twice")))</x:f>
        <x:v>Available</x:v>
      </x:c>
      <x:c r="E20" s="2"/>
      <x:c r="F20" s="2"/>
      <x:c r="G20" s="2"/>
    </x:row>
    <x:row r="21" ht="23" customHeight="1">
      <x:c r="A21" s="2" t="n">
        <x:v>15</x:v>
      </x:c>
      <x:c r="B21" s="5" t="str">
        <x:v>Ryan Shaw</x:v>
      </x:c>
      <x:c r="C21" s="10" t="n">
        <x:v>37</x:v>
      </x:c>
      <x:c r="D21" s="2" t="str">
        <x:f>IF(B21="","",IF(COUNTIF($D$27:$D$42,B21)=0,"Available",IF(COUNTIF($D$27:$D$42,B21)=1,"Assigned","Selected twice")))</x:f>
        <x:v>Available</x:v>
      </x:c>
      <x:c r="E21" s="2" t="str">
        <x:v>Roster snapshot: Sept. 11, 2026.</x:v>
      </x:c>
      <x:c r="F21" s="2"/>
      <x:c r="G21" s="2"/>
    </x:row>
    <x:row r="22" ht="23" customHeight="1">
      <x:c r="A22" s="2" t="n">
        <x:v>16</x:v>
      </x:c>
      <x:c r="B22" s="5" t="str">
        <x:v>Bret Williams</x:v>
      </x:c>
      <x:c r="C22" s="10" t="n">
        <x:v>37</x:v>
      </x:c>
      <x:c r="D22" s="2" t="str">
        <x:f>IF(B22="","",IF(COUNTIF($D$27:$D$42,B22)=0,"Available",IF(COUNTIF($D$27:$D$42,B22)=1,"Assigned","Selected twice")))</x:f>
        <x:v>Available</x:v>
      </x:c>
      <x:c r="E22" s="2"/>
      <x:c r="F22" s="2"/>
      <x:c r="G22" s="2"/>
    </x:row>
    <x:row r="23" ht="23" customHeight="1">
      <x:c r="A23" s="2"/>
      <x:c r="B23" s="2"/>
      <x:c r="C23" s="2"/>
      <x:c r="D23" s="2"/>
      <x:c r="E23" s="2"/>
      <x:c r="F23" s="2"/>
      <x:c r="G23" s="2"/>
    </x:row>
    <x:row r="24" ht="23" customHeight="1">
      <x:c r="A24" s="4" t="str">
        <x:v>Choose your teams</x:v>
      </x:c>
      <x:c r="B24" s="4"/>
      <x:c r="C24" s="4"/>
      <x:c r="D24" s="4"/>
      <x:c r="E24" s="4"/>
      <x:c r="F24" s="4"/>
      <x:c r="G24" s="4"/>
    </x:row>
    <x:row r="25" ht="23" customHeight="1">
      <x:c r="A25" s="2" t="str">
        <x:v>A players are prefilled. Choose a B player from each yellow dropdown; red highlights repeat selections.</x:v>
      </x:c>
      <x:c r="B25" s="2"/>
      <x:c r="C25" s="2"/>
      <x:c r="D25" s="2"/>
      <x:c r="E25" s="2"/>
      <x:c r="F25" s="2"/>
      <x:c r="G25" s="2"/>
    </x:row>
    <x:row r="26" ht="32" customHeight="1">
      <x:c r="A26" s="8" t="str">
        <x:v>Team</x:v>
      </x:c>
      <x:c r="B26" s="8" t="str">
        <x:v>A-flight player</x:v>
      </x:c>
      <x:c r="C26" s="8" t="str">
        <x:v>A HCP</x:v>
      </x:c>
      <x:c r="D26" s="8" t="str">
        <x:v>B-flight player ▼</x:v>
      </x:c>
      <x:c r="E26" s="8" t="str">
        <x:v>B HCP</x:v>
      </x:c>
      <x:c r="F26" s="8" t="str">
        <x:v>Scramble HCP</x:v>
      </x:c>
      <x:c r="G26" s="8" t="str">
        <x:v>Selection check</x:v>
      </x:c>
    </x:row>
    <x:row r="27" ht="23" customHeight="1">
      <x:c r="A27" s="2" t="n">
        <x:v>1</x:v>
      </x:c>
      <x:c r="B27" s="5" t="str">
        <x:v>Mark Sommerville</x:v>
      </x:c>
      <x:c r="C27" s="10" t="n">
        <x:v>5</x:v>
      </x:c>
      <x:c r="D27" s="5"/>
      <x:c r="E27" s="12" t="str">
        <x:f>IF(D27="","",IFERROR(IF(COUNT(INDEX($C$7:$C$22,MATCH(D27,$B$7:$B$22,0)))=0,"",INDEX($C$7:$C$22,MATCH(D27,$B$7:$B$22,0))),""))</x:f>
      </x:c>
      <x:c r="F27" s="14" t="str">
        <x:f>IF(OR(B27="",D27="",COUNT(C27,E27)&lt;2),"",ROUND(MIN(C27,E27)*35%+MAX(C27,E27)*15%,0))</x:f>
      </x:c>
      <x:c r="G27" s="2" t="str">
        <x:f>IF(D27="","",IF(COUNTIF($D$27:$D$42,D27)&gt;1,"Duplicate B player",IF(B27="","Enter A player",IF(COUNT(C27,E27)&lt;2,"Missing handicap",""))))</x:f>
      </x:c>
    </x:row>
    <x:row r="28" ht="23" customHeight="1">
      <x:c r="A28" s="2" t="n">
        <x:v>2</x:v>
      </x:c>
      <x:c r="B28" s="5" t="str">
        <x:v>Dan Coldagelli</x:v>
      </x:c>
      <x:c r="C28" s="10" t="n">
        <x:v>8</x:v>
      </x:c>
      <x:c r="D28" s="5"/>
      <x:c r="E28" s="12" t="str">
        <x:f>IF(D28="","",IFERROR(IF(COUNT(INDEX($C$7:$C$22,MATCH(D28,$B$7:$B$22,0)))=0,"",INDEX($C$7:$C$22,MATCH(D28,$B$7:$B$22,0))),""))</x:f>
      </x:c>
      <x:c r="F28" s="14" t="str">
        <x:f>IF(OR(B28="",D28="",COUNT(C28,E28)&lt;2),"",ROUND(MIN(C28,E28)*35%+MAX(C28,E28)*15%,0))</x:f>
      </x:c>
      <x:c r="G28" s="2" t="str">
        <x:f>IF(D28="","",IF(COUNTIF($D$27:$D$42,D28)&gt;1,"Duplicate B player",IF(B28="","Enter A player",IF(COUNT(C28,E28)&lt;2,"Missing handicap",""))))</x:f>
      </x:c>
    </x:row>
    <x:row r="29" ht="23" customHeight="1">
      <x:c r="A29" s="2" t="n">
        <x:v>3</x:v>
      </x:c>
      <x:c r="B29" s="5" t="str">
        <x:v>Rocco Vincenti</x:v>
      </x:c>
      <x:c r="C29" s="10" t="n">
        <x:v>9</x:v>
      </x:c>
      <x:c r="D29" s="5"/>
      <x:c r="E29" s="12" t="str">
        <x:f>IF(D29="","",IFERROR(IF(COUNT(INDEX($C$7:$C$22,MATCH(D29,$B$7:$B$22,0)))=0,"",INDEX($C$7:$C$22,MATCH(D29,$B$7:$B$22,0))),""))</x:f>
      </x:c>
      <x:c r="F29" s="14" t="str">
        <x:f>IF(OR(B29="",D29="",COUNT(C29,E29)&lt;2),"",ROUND(MIN(C29,E29)*35%+MAX(C29,E29)*15%,0))</x:f>
      </x:c>
      <x:c r="G29" s="2" t="str">
        <x:f>IF(D29="","",IF(COUNTIF($D$27:$D$42,D29)&gt;1,"Duplicate B player",IF(B29="","Enter A player",IF(COUNT(C29,E29)&lt;2,"Missing handicap",""))))</x:f>
      </x:c>
    </x:row>
    <x:row r="30" ht="23" customHeight="1">
      <x:c r="A30" s="2" t="n">
        <x:v>4</x:v>
      </x:c>
      <x:c r="B30" s="5" t="str">
        <x:v>Justin Shook</x:v>
      </x:c>
      <x:c r="C30" s="10" t="n">
        <x:v>10</x:v>
      </x:c>
      <x:c r="D30" s="5"/>
      <x:c r="E30" s="12" t="str">
        <x:f>IF(D30="","",IFERROR(IF(COUNT(INDEX($C$7:$C$22,MATCH(D30,$B$7:$B$22,0)))=0,"",INDEX($C$7:$C$22,MATCH(D30,$B$7:$B$22,0))),""))</x:f>
      </x:c>
      <x:c r="F30" s="14" t="str">
        <x:f>IF(OR(B30="",D30="",COUNT(C30,E30)&lt;2),"",ROUND(MIN(C30,E30)*35%+MAX(C30,E30)*15%,0))</x:f>
      </x:c>
      <x:c r="G30" s="2" t="str">
        <x:f>IF(D30="","",IF(COUNTIF($D$27:$D$42,D30)&gt;1,"Duplicate B player",IF(B30="","Enter A player",IF(COUNT(C30,E30)&lt;2,"Missing handicap",""))))</x:f>
      </x:c>
    </x:row>
    <x:row r="31" ht="23" customHeight="1">
      <x:c r="A31" s="2" t="n">
        <x:v>5</x:v>
      </x:c>
      <x:c r="B31" s="5" t="str">
        <x:v>Erik Latkow</x:v>
      </x:c>
      <x:c r="C31" s="10" t="n">
        <x:v>13</x:v>
      </x:c>
      <x:c r="D31" s="5"/>
      <x:c r="E31" s="12" t="str">
        <x:f>IF(D31="","",IFERROR(IF(COUNT(INDEX($C$7:$C$22,MATCH(D31,$B$7:$B$22,0)))=0,"",INDEX($C$7:$C$22,MATCH(D31,$B$7:$B$22,0))),""))</x:f>
      </x:c>
      <x:c r="F31" s="14" t="str">
        <x:f>IF(OR(B31="",D31="",COUNT(C31,E31)&lt;2),"",ROUND(MIN(C31,E31)*35%+MAX(C31,E31)*15%,0))</x:f>
      </x:c>
      <x:c r="G31" s="2" t="str">
        <x:f>IF(D31="","",IF(COUNTIF($D$27:$D$42,D31)&gt;1,"Duplicate B player",IF(B31="","Enter A player",IF(COUNT(C31,E31)&lt;2,"Missing handicap",""))))</x:f>
      </x:c>
    </x:row>
    <x:row r="32" ht="23" customHeight="1">
      <x:c r="A32" s="2" t="n">
        <x:v>6</x:v>
      </x:c>
      <x:c r="B32" s="5" t="str">
        <x:v>Braden Carlson</x:v>
      </x:c>
      <x:c r="C32" s="10" t="n">
        <x:v>14</x:v>
      </x:c>
      <x:c r="D32" s="5"/>
      <x:c r="E32" s="12" t="str">
        <x:f>IF(D32="","",IFERROR(IF(COUNT(INDEX($C$7:$C$22,MATCH(D32,$B$7:$B$22,0)))=0,"",INDEX($C$7:$C$22,MATCH(D32,$B$7:$B$22,0))),""))</x:f>
      </x:c>
      <x:c r="F32" s="14" t="str">
        <x:f>IF(OR(B32="",D32="",COUNT(C32,E32)&lt;2),"",ROUND(MIN(C32,E32)*35%+MAX(C32,E32)*15%,0))</x:f>
      </x:c>
      <x:c r="G32" s="2" t="str">
        <x:f>IF(D32="","",IF(COUNTIF($D$27:$D$42,D32)&gt;1,"Duplicate B player",IF(B32="","Enter A player",IF(COUNT(C32,E32)&lt;2,"Missing handicap",""))))</x:f>
      </x:c>
    </x:row>
    <x:row r="33" ht="23" customHeight="1">
      <x:c r="A33" s="2" t="n">
        <x:v>7</x:v>
      </x:c>
      <x:c r="B33" s="5" t="str">
        <x:v>James Dance</x:v>
      </x:c>
      <x:c r="C33" s="10" t="n">
        <x:v>16</x:v>
      </x:c>
      <x:c r="D33" s="5"/>
      <x:c r="E33" s="12" t="str">
        <x:f>IF(D33="","",IFERROR(IF(COUNT(INDEX($C$7:$C$22,MATCH(D33,$B$7:$B$22,0)))=0,"",INDEX($C$7:$C$22,MATCH(D33,$B$7:$B$22,0))),""))</x:f>
      </x:c>
      <x:c r="F33" s="14" t="str">
        <x:f>IF(OR(B33="",D33="",COUNT(C33,E33)&lt;2),"",ROUND(MIN(C33,E33)*35%+MAX(C33,E33)*15%,0))</x:f>
      </x:c>
      <x:c r="G33" s="2" t="str">
        <x:f>IF(D33="","",IF(COUNTIF($D$27:$D$42,D33)&gt;1,"Duplicate B player",IF(B33="","Enter A player",IF(COUNT(C33,E33)&lt;2,"Missing handicap",""))))</x:f>
      </x:c>
    </x:row>
    <x:row r="34" ht="23" customHeight="1">
      <x:c r="A34" s="2" t="n">
        <x:v>8</x:v>
      </x:c>
      <x:c r="B34" s="5" t="str">
        <x:v>Nick De Paul</x:v>
      </x:c>
      <x:c r="C34" s="10" t="n">
        <x:v>16</x:v>
      </x:c>
      <x:c r="D34" s="5"/>
      <x:c r="E34" s="12" t="str">
        <x:f>IF(D34="","",IFERROR(IF(COUNT(INDEX($C$7:$C$22,MATCH(D34,$B$7:$B$22,0)))=0,"",INDEX($C$7:$C$22,MATCH(D34,$B$7:$B$22,0))),""))</x:f>
      </x:c>
      <x:c r="F34" s="14" t="str">
        <x:f>IF(OR(B34="",D34="",COUNT(C34,E34)&lt;2),"",ROUND(MIN(C34,E34)*35%+MAX(C34,E34)*15%,0))</x:f>
      </x:c>
      <x:c r="G34" s="2" t="str">
        <x:f>IF(D34="","",IF(COUNTIF($D$27:$D$42,D34)&gt;1,"Duplicate B player",IF(B34="","Enter A player",IF(COUNT(C34,E34)&lt;2,"Missing handicap",""))))</x:f>
      </x:c>
    </x:row>
    <x:row r="35" ht="23" customHeight="1">
      <x:c r="A35" s="2" t="n">
        <x:v>9</x:v>
      </x:c>
      <x:c r="B35" s="5" t="str">
        <x:v>Andy DeTolve</x:v>
      </x:c>
      <x:c r="C35" s="10" t="n">
        <x:v>16</x:v>
      </x:c>
      <x:c r="D35" s="5"/>
      <x:c r="E35" s="12" t="str">
        <x:f>IF(D35="","",IFERROR(IF(COUNT(INDEX($C$7:$C$22,MATCH(D35,$B$7:$B$22,0)))=0,"",INDEX($C$7:$C$22,MATCH(D35,$B$7:$B$22,0))),""))</x:f>
      </x:c>
      <x:c r="F35" s="14" t="str">
        <x:f>IF(OR(B35="",D35="",COUNT(C35,E35)&lt;2),"",ROUND(MIN(C35,E35)*35%+MAX(C35,E35)*15%,0))</x:f>
      </x:c>
      <x:c r="G35" s="2" t="str">
        <x:f>IF(D35="","",IF(COUNTIF($D$27:$D$42,D35)&gt;1,"Duplicate B player",IF(B35="","Enter A player",IF(COUNT(C35,E35)&lt;2,"Missing handicap",""))))</x:f>
      </x:c>
    </x:row>
    <x:row r="36" ht="23" customHeight="1">
      <x:c r="A36" s="2" t="n">
        <x:v>10</x:v>
      </x:c>
      <x:c r="B36" s="5" t="str">
        <x:v>Steve Oleary</x:v>
      </x:c>
      <x:c r="C36" s="10" t="n">
        <x:v>16</x:v>
      </x:c>
      <x:c r="D36" s="5"/>
      <x:c r="E36" s="12" t="str">
        <x:f>IF(D36="","",IFERROR(IF(COUNT(INDEX($C$7:$C$22,MATCH(D36,$B$7:$B$22,0)))=0,"",INDEX($C$7:$C$22,MATCH(D36,$B$7:$B$22,0))),""))</x:f>
      </x:c>
      <x:c r="F36" s="14" t="str">
        <x:f>IF(OR(B36="",D36="",COUNT(C36,E36)&lt;2),"",ROUND(MIN(C36,E36)*35%+MAX(C36,E36)*15%,0))</x:f>
      </x:c>
      <x:c r="G36" s="2" t="str">
        <x:f>IF(D36="","",IF(COUNTIF($D$27:$D$42,D36)&gt;1,"Duplicate B player",IF(B36="","Enter A player",IF(COUNT(C36,E36)&lt;2,"Missing handicap",""))))</x:f>
      </x:c>
    </x:row>
    <x:row r="37" ht="23" customHeight="1">
      <x:c r="A37" s="2" t="n">
        <x:v>11</x:v>
      </x:c>
      <x:c r="B37" s="5" t="str">
        <x:v>Jason Grueter</x:v>
      </x:c>
      <x:c r="C37" s="10" t="n">
        <x:v>18</x:v>
      </x:c>
      <x:c r="D37" s="5"/>
      <x:c r="E37" s="12" t="str">
        <x:f>IF(D37="","",IFERROR(IF(COUNT(INDEX($C$7:$C$22,MATCH(D37,$B$7:$B$22,0)))=0,"",INDEX($C$7:$C$22,MATCH(D37,$B$7:$B$22,0))),""))</x:f>
      </x:c>
      <x:c r="F37" s="14" t="str">
        <x:f>IF(OR(B37="",D37="",COUNT(C37,E37)&lt;2),"",ROUND(MIN(C37,E37)*35%+MAX(C37,E37)*15%,0))</x:f>
      </x:c>
      <x:c r="G37" s="2" t="str">
        <x:f>IF(D37="","",IF(COUNTIF($D$27:$D$42,D37)&gt;1,"Duplicate B player",IF(B37="","Enter A player",IF(COUNT(C37,E37)&lt;2,"Missing handicap",""))))</x:f>
      </x:c>
    </x:row>
    <x:row r="38" ht="23" customHeight="1">
      <x:c r="A38" s="2" t="n">
        <x:v>12</x:v>
      </x:c>
      <x:c r="B38" s="5" t="str">
        <x:v>Brandon Schaefer</x:v>
      </x:c>
      <x:c r="C38" s="10" t="n">
        <x:v>18</x:v>
      </x:c>
      <x:c r="D38" s="5"/>
      <x:c r="E38" s="12" t="str">
        <x:f>IF(D38="","",IFERROR(IF(COUNT(INDEX($C$7:$C$22,MATCH(D38,$B$7:$B$22,0)))=0,"",INDEX($C$7:$C$22,MATCH(D38,$B$7:$B$22,0))),""))</x:f>
      </x:c>
      <x:c r="F38" s="14" t="str">
        <x:f>IF(OR(B38="",D38="",COUNT(C38,E38)&lt;2),"",ROUND(MIN(C38,E38)*35%+MAX(C38,E38)*15%,0))</x:f>
      </x:c>
      <x:c r="G38" s="2" t="str">
        <x:f>IF(D38="","",IF(COUNTIF($D$27:$D$42,D38)&gt;1,"Duplicate B player",IF(B38="","Enter A player",IF(COUNT(C38,E38)&lt;2,"Missing handicap",""))))</x:f>
      </x:c>
    </x:row>
    <x:row r="39" ht="23" customHeight="1">
      <x:c r="A39" s="2" t="n">
        <x:v>13</x:v>
      </x:c>
      <x:c r="B39" s="5" t="str">
        <x:v>Bill Shanahan</x:v>
      </x:c>
      <x:c r="C39" s="10" t="n">
        <x:v>18</x:v>
      </x:c>
      <x:c r="D39" s="5"/>
      <x:c r="E39" s="12" t="str">
        <x:f>IF(D39="","",IFERROR(IF(COUNT(INDEX($C$7:$C$22,MATCH(D39,$B$7:$B$22,0)))=0,"",INDEX($C$7:$C$22,MATCH(D39,$B$7:$B$22,0))),""))</x:f>
      </x:c>
      <x:c r="F39" s="14" t="str">
        <x:f>IF(OR(B39="",D39="",COUNT(C39,E39)&lt;2),"",ROUND(MIN(C39,E39)*35%+MAX(C39,E39)*15%,0))</x:f>
      </x:c>
      <x:c r="G39" s="2" t="str">
        <x:f>IF(D39="","",IF(COUNTIF($D$27:$D$42,D39)&gt;1,"Duplicate B player",IF(B39="","Enter A player",IF(COUNT(C39,E39)&lt;2,"Missing handicap",""))))</x:f>
      </x:c>
    </x:row>
    <x:row r="40" ht="23" customHeight="1">
      <x:c r="A40" s="2" t="n">
        <x:v>14</x:v>
      </x:c>
      <x:c r="B40" s="5" t="str">
        <x:v>Arvin Joshi</x:v>
      </x:c>
      <x:c r="C40" s="10" t="n">
        <x:v>19</x:v>
      </x:c>
      <x:c r="D40" s="5"/>
      <x:c r="E40" s="12" t="str">
        <x:f>IF(D40="","",IFERROR(IF(COUNT(INDEX($C$7:$C$22,MATCH(D40,$B$7:$B$22,0)))=0,"",INDEX($C$7:$C$22,MATCH(D40,$B$7:$B$22,0))),""))</x:f>
      </x:c>
      <x:c r="F40" s="14" t="str">
        <x:f>IF(OR(B40="",D40="",COUNT(C40,E40)&lt;2),"",ROUND(MIN(C40,E40)*35%+MAX(C40,E40)*15%,0))</x:f>
      </x:c>
      <x:c r="G40" s="2" t="str">
        <x:f>IF(D40="","",IF(COUNTIF($D$27:$D$42,D40)&gt;1,"Duplicate B player",IF(B40="","Enter A player",IF(COUNT(C40,E40)&lt;2,"Missing handicap",""))))</x:f>
      </x:c>
    </x:row>
    <x:row r="41" ht="23" customHeight="1">
      <x:c r="A41" s="2" t="n">
        <x:v>15</x:v>
      </x:c>
      <x:c r="B41" s="5" t="str">
        <x:v>Anthony Catallo</x:v>
      </x:c>
      <x:c r="C41" s="10" t="n">
        <x:v>20</x:v>
      </x:c>
      <x:c r="D41" s="5"/>
      <x:c r="E41" s="12" t="str">
        <x:f>IF(D41="","",IFERROR(IF(COUNT(INDEX($C$7:$C$22,MATCH(D41,$B$7:$B$22,0)))=0,"",INDEX($C$7:$C$22,MATCH(D41,$B$7:$B$22,0))),""))</x:f>
      </x:c>
      <x:c r="F41" s="14" t="str">
        <x:f>IF(OR(B41="",D41="",COUNT(C41,E41)&lt;2),"",ROUND(MIN(C41,E41)*35%+MAX(C41,E41)*15%,0))</x:f>
      </x:c>
      <x:c r="G41" s="2" t="str">
        <x:f>IF(D41="","",IF(COUNTIF($D$27:$D$42,D41)&gt;1,"Duplicate B player",IF(B41="","Enter A player",IF(COUNT(C41,E41)&lt;2,"Missing handicap",""))))</x:f>
      </x:c>
    </x:row>
    <x:row r="42" ht="23" customHeight="1">
      <x:c r="A42" s="2" t="n">
        <x:v>16</x:v>
      </x:c>
      <x:c r="B42" s="5"/>
      <x:c r="C42" s="10"/>
      <x:c r="D42" s="5"/>
      <x:c r="E42" s="12" t="str">
        <x:f>IF(D42="","",IFERROR(IF(COUNT(INDEX($C$7:$C$22,MATCH(D42,$B$7:$B$22,0)))=0,"",INDEX($C$7:$C$22,MATCH(D42,$B$7:$B$22,0))),""))</x:f>
      </x:c>
      <x:c r="F42" s="14" t="str">
        <x:f>IF(OR(B42="",D42="",COUNT(C42,E42)&lt;2),"",ROUND(MIN(C42,E42)*35%+MAX(C42,E42)*15%,0))</x:f>
      </x:c>
      <x:c r="G42" s="2" t="str">
        <x:f>IF(D42="","",IF(COUNTIF($D$27:$D$42,D42)&gt;1,"Duplicate B player",IF(B42="","Enter A player",IF(COUNT(C42,E42)&lt;2,"Missing handicap",""))))</x:f>
      </x:c>
    </x:row>
    <x:row r="43" ht="23" customHeight="1">
      <x:c r="A43" s="2"/>
      <x:c r="B43" s="2"/>
      <x:c r="C43" s="2"/>
      <x:c r="D43" s="2"/>
      <x:c r="E43" s="2"/>
      <x:c r="F43" s="2"/>
      <x:c r="G43" s="2"/>
    </x:row>
    <x:row r="44" ht="23" customHeight="1">
      <x:c r="A44" s="2" t="str">
        <x:v>Source: Shooktoberfest website roster and lib/admin.ts flight split; current course handicaps.</x:v>
      </x:c>
      <x:c r="B44" s="2"/>
      <x:c r="C44" s="2"/>
      <x:c r="D44" s="2"/>
      <x:c r="E44" s="2"/>
      <x:c r="F44" s="2"/>
      <x:c r="G44" s="2"/>
    </x:row>
  </x:sheetData>
  <x:conditionalFormatting sqref="D27:D42">
    <x:cfRule type="expression" dxfId="0" priority="1">
      <x:formula>AND(D27&lt;&gt;"",COUNTIF($D$27:$D$42,D27)&gt;1)</x:formula>
    </x:cfRule>
  </x:conditionalFormatting>
  <x:conditionalFormatting sqref="G27:G42">
    <x:cfRule type="expression" dxfId="1" priority="2">
      <x:formula>G27&lt;&gt;""</x:formula>
    </x:cfRule>
  </x:conditionalFormatting>
  <x:conditionalFormatting sqref="B7:B22">
    <x:cfRule type="expression" dxfId="2" priority="3">
      <x:formula>AND(B7&lt;&gt;"",COUNTIF($B$7:$B$22,B7)&gt;1)</x:formula>
    </x:cfRule>
  </x:conditionalFormatting>
  <x:dataValidations count="1">
    <x:dataValidation type="list" sqref="D27:D42">
      <x:formula1>$B$7:$B$22</x:formula1>
    </x:dataValidation>
  </x:dataValidations>
  <x:pageMargins left="0.7" right="0.7" top="0.75" bottom="0.75" header="0.3" footer="0.3"/>
  <x:legacyDrawing xmlns:r="http://schemas.openxmlformats.org/officeDocument/2006/relationships" r:id="R0758ad3122744320"/>
</x:worksheet>
</file>